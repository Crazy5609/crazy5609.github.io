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120"/>
  </bookViews>
  <sheets>
    <sheet name="0902修订版" sheetId="1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<sst xmlns="http://schemas.openxmlformats.org/spreadsheetml/2006/main" count="240" uniqueCount="154">
  <si>
    <t>序号</t>
  </si>
  <si>
    <t>一级业务项</t>
  </si>
  <si>
    <t>状态</t>
  </si>
  <si>
    <t>二级业务项</t>
  </si>
  <si>
    <t>三级业务项</t>
  </si>
  <si>
    <t>业务描述</t>
  </si>
  <si>
    <t>软件功能项等级系数</t>
  </si>
  <si>
    <t>功能点
倍乘系数</t>
  </si>
  <si>
    <t>最小功能单元数量</t>
  </si>
  <si>
    <t>备注</t>
  </si>
  <si>
    <t>内部文件管理</t>
  </si>
  <si>
    <t>完善</t>
  </si>
  <si>
    <t>知识分类标签管理</t>
  </si>
  <si>
    <t>标签全生命周期管理</t>
  </si>
  <si>
    <t>新增</t>
  </si>
  <si>
    <t>支持标签全生命周期管理，覆盖创建、启用、停用；标签体系支持按需建立多个层级，可维护父子标签归属、层级与引用规则；支持标签节点新增、移动与层级调整，新增标签经审核通过后纳入正式体系启用。</t>
  </si>
  <si>
    <t>标签目录映射与归档规则管理</t>
  </si>
  <si>
    <t>建立标签与知识目录之间的映射关系，将知识内容识别形成的标签结果转换为可执行的目录定位和归档规则，管理员可根据业务需要配置标签对应的目标目录。文件完成标签标注后，系统依据匹配结果自动推荐或定位相应知识目录。</t>
  </si>
  <si>
    <t>元数据管理</t>
  </si>
  <si>
    <t>元数据模型管理</t>
  </si>
  <si>
    <t>预置全平台统一的元数据标准规范，支持按文档、音频、视频、图片等不同知识类型配置差异化元数据模型，设定必填与可选字段，覆盖基础属性、分类体系、知识标签、业务域、有效期、版本号等核心维度；同时支持在内置模型基础上灵活扩展字段类型、约束规则与枚举选项，对齐公司统一知识分类与标签体系，保障全平台元数据口径统一、规则一致。</t>
  </si>
  <si>
    <t>知识向量管理</t>
  </si>
  <si>
    <t>多模态数据源接入扩展</t>
  </si>
  <si>
    <t>在原有文本类文档向量处理能力基础上，扩展支持音频、视频、图片等多模态知识资源的向量化加工。针对音频类资源完成语音转写与语义分段，视频类资源提取关键帧画面、语音文本与场景语义，图片类资源完成 OCR 文字识别与画面内容语义解析；将多模态内容统一转换为标准化向量表示，同步纳入知识向量库统一管理，为多模态检索与智能体多模态理解提供底层数据支撑。</t>
  </si>
  <si>
    <t>多模态知识切片与向量化加工处理</t>
  </si>
  <si>
    <t>面向知识共享中心预上传的文本、音频、视频、图片等多模态知识文件，统一开展切片预处理与向量化转换加工。针对不同模态适配差异化切片策略：文本类按章节层级、语义段落自适应调整切片粒度与重叠窗口；音视频类基于语音转写内容、关键帧语义做分段切片；图片类基于 OCR 识别文本与画面语义做切块处理。所有切片完成标准化语义向量化转换，生成统一格式的知识向量切片，进入后续质量校验环节。</t>
  </si>
  <si>
    <t>向量切片质量校验与人工干预处理</t>
  </si>
  <si>
    <t>对加工生成的知识向量切片执行全量质量校验，识别语义残缺、上下文断裂、内容重复、向量异常等问题切片并分类标记；对异常切片执行拆分、合并、重新切片、内容修正等操作，校验调整通过后方可进入向量库存储，从加工源头保障向量化知识的准确性与完整性，支撑上层语义检索与智能体推理效果。</t>
  </si>
  <si>
    <t>智能体搭建</t>
  </si>
  <si>
    <t>智能体可视化编排配置</t>
  </si>
  <si>
    <t>基于总部人工智能体平台基础组件，调用光明大模型，配置提示词模板、知识库检索策略、回答约束规则，编排知识检索、语义理解、内容生成等处理节点，搭建适配知识共享中心的知识服务智能体。</t>
  </si>
  <si>
    <t>知识库挂载与绑定</t>
  </si>
  <si>
    <t>将处理后的向量库按照知识分类等纬度封装形成专业知识库挂载至对应智能体，可配置知识检索范围、优先级与权限控制规则；强化智能体对专业领域知识的理解能力，保障回答内容精准匹配业务需求。</t>
  </si>
  <si>
    <t>知识共享中心首页</t>
  </si>
  <si>
    <t>首页重构</t>
  </si>
  <si>
    <t>重构知识共享中心首页，作为统一服务门户，整合智能问答与知识查询检索入口，设置知识内容上传、在线文档协作、材料智能起草等高频功能快捷入口；配备可折叠式侧边导航栏，集中展示各级知识库与管理模块，右上角集成消息通知与个人账号管理入口，左下角显示全局悬浮智能助手，打造一站式知识服务首屏，为用户提供便捷高效的知识访问与业务操作通道。</t>
  </si>
  <si>
    <t>知识上传归集</t>
  </si>
  <si>
    <t>知识批量上传</t>
  </si>
  <si>
    <t>支持用户选择本地文件夹后，一次性上传其中全部子目录和文件，并在系统中保留原有层级关系，无需逐个新建目录、逐个选择文件。上传时自动采集文件名称、格式、大小、上传时间等基础信息。</t>
  </si>
  <si>
    <t>重复、近似及历史版本文件识别</t>
  </si>
  <si>
    <t>综合文件哈希值、文件名称、文件大小、内容相似度、版本特征，对上传文件与当前知识库内完全重复文件、内容近似文件及历史版本进行自动识别。系统提示用户保留已有文件或取消重复入库。</t>
  </si>
  <si>
    <t>文件命名规范检查与优化建议</t>
  </si>
  <si>
    <t>依据统一的文件命名规范，对上传文件的名称进行自动检查，识别名称缺少必要要素、命名格式不统一、日期或版本表达不规范、使用特殊字符、名称含义不清晰以及同名冲突等问题。系统应明确展示发现的问题、对应的规范要求和具体修改建议。</t>
  </si>
  <si>
    <t>知识内容智能标引</t>
  </si>
  <si>
    <t>系统对上传文件的标题、正文内容、目录结构、文件属性及其他可识别信息进行分析，自动生成共享层级、专业领域、知识类型、版本等标签，同时提取文件主题、关键词、摘要等基础信息。生成的标签应从统一标签库中匹配，避免产生大量含义重复或不符合规范的自由标签.</t>
  </si>
  <si>
    <t>人工确认及入库</t>
  </si>
  <si>
    <t>智能标引完成后，系统集中展示知识基础信息及标引标签，由具备相应权限的人员进行审核确认。审核人员可对知识基础信息和标签进行补充、调整，并可按照上传批次、所属目录、知识类型等条件开展批量审核和批量处理。</t>
  </si>
  <si>
    <t>个人中心</t>
  </si>
  <si>
    <t>个人知识库</t>
  </si>
  <si>
    <t>重构原有个人中心，升级为个人知识库作为员工独立的个人知识空间，用于归集、整理和维护个人工作资料、过程文档及经验成果；个人知识库默认由员工本人管理，设立最近使用、我的知识、回收站。</t>
  </si>
  <si>
    <t>最近使用</t>
  </si>
  <si>
    <t>新增最近使用页面，页面展示用户近期浏览、编辑或下载的知识文件，便于快速定位并继续处理相关工作。支持查看文件名称、所属目录和最近使用时间，并可直接打开文件；对于经常使用的文件，支持置顶或取消置顶，提升常用知识的访问效率。</t>
  </si>
  <si>
    <t>我的知识</t>
  </si>
  <si>
    <t>新增我的知识页面，用户提供个人知识管理页面，集中展示和管理个人的知识文件及文件夹。支持新建文件夹，并对文件和文件夹进行上传、编辑、下载、分享、创建副本、删除等操作；支持批量移动和批量知识提报。知识内容可采用列表或卡片形式展示，并支持通过关键词快速搜索和定位文件。</t>
  </si>
  <si>
    <t>知识协作</t>
  </si>
  <si>
    <t>新增知识协作管理能力，对用户个人发起及参与的全部协作知识文件进行统一归集管理；支持查看协作参与人员构成与权限分配详情，可随时新增、移除协作成员，灵活调整成员操作权限。</t>
  </si>
  <si>
    <t>我的收藏</t>
  </si>
  <si>
    <t>提供个人收藏页面，集中展示用户收藏的知识文件，包括文件名称、知识类型、所属目录和收藏时间等信息。用户可快速打开、下载或分享收藏内容，也可取消收藏。</t>
  </si>
  <si>
    <t>知识共享</t>
  </si>
  <si>
    <t>共享提报</t>
  </si>
  <si>
    <t>支持用户在个人、部门、公司等知识库及知识处理环节发起共享申请。申请发起时，用户可选择目标知识库及目录，并填写共享范围、申请说明等信息。提交后，申请将按照预设流程进入审核环节，系统同步更新提报状态。用户可随时查看申请详情、当前审核节点及共享进度，及时掌握申请处理情况。对于被退回的共享申请，系统将同步推送至用户待办，确保用户及时获知审核动态。用户可查看退回原因及处理意见，修改完善相关信息后重新提交申请，形成申请提交、审核处理、退回修改、再次提交直至共享完成的闭环流程。</t>
  </si>
  <si>
    <t>审核工作台</t>
  </si>
  <si>
    <t>在原有个人中心“我的审批”能力基础上，升级建设统一的审核工作台，构建标准化、全链路的知识审核流程体系。按照预设审核流程规则，自动将知识共享审批请求推送至对应负责人的待办中心，同步触发待办消息提醒，确保审批事项及时触达。负责人可在审核工作台集中查看申请信息和知识内容，支持执行审核通过、退回等操作；退回操作可填写具体处理意见与修改要求。审核通过的知识内容自动归入目标知识库正式发布，同步更新知识状态与检索权限；系统完整留存申请信息、审核操作记录、处理意见与状态变更等日志，支持按审批类型、时间、状态多维度查询追溯，实现知识从提交、审核到发布全流程可查询、可追溯、可审计。</t>
  </si>
  <si>
    <t>部门/公司知识库管理</t>
  </si>
  <si>
    <t>知识库目录管理</t>
  </si>
  <si>
    <t>为部门/公司建立统一的知识管理空间，由部门/公司知识管理员负责维护知识目录及知识内容。
支持创建多级目录，并对目录进行新增、修改、排序、移动和删除，根据业务分类对知识进行结构化组织。</t>
  </si>
  <si>
    <t>知识文件管理</t>
  </si>
  <si>
    <t>支持管理员对知识文件执行新增、移动、删除、下架和重新发布等操作，并维护知识名称、所属目录、知识标签、适用范围及其他基础属性。对于已失效、内容过期或不宜继续使用的知识，可进行下架处理并保留相应管理记录。</t>
  </si>
  <si>
    <t>操作记录</t>
  </si>
  <si>
    <t>系统记录目录和知识内容的维护人员、维护时间及变更情况，保证部门知识持续更新、分类准确和责任可追溯。</t>
  </si>
  <si>
    <t>数据统计</t>
  </si>
  <si>
    <t>管理员可查看相应知识库知识总量、月增数量、AI引用次数，以及知识浏览、下载、分享等数据。支持查看知识榜单。</t>
  </si>
  <si>
    <t>公司级知识可见范围管理</t>
  </si>
  <si>
    <t>公司级知识上传或发布时，支持设置知识的可见范围，可选择面向全公司公开，也可限定指定部门或岗位人员查看。知识发布后，系统根据用户所属部门、岗位及访问权限控制内容展示，无权人员无法查看。知识管理员可根据实际需要调整可见范围，确保不同类型的公司知识在适当范围内共享和使用。</t>
  </si>
  <si>
    <t>知识定向分享</t>
  </si>
  <si>
    <t>个人知识定向分享</t>
  </si>
  <si>
    <t>支持员工将个人知识库中的文件或知识定向分享给指定人员。发起分享时，用户可选择接收对象，设置查看、编辑或管理等操作权限，并可根据实际需要设置分享有效期限。接收人员只能在被授权的范围访问或操作共享知识。</t>
  </si>
  <si>
    <t>个人知识定向分享权限调整</t>
  </si>
  <si>
    <t>分享发起人可查询已发起和已接收的分享记录，查看接收对象、权限范围、并支持进行权限调整。取消分享后，系统及时收回相关访问权限。</t>
  </si>
  <si>
    <t>部门知识跨部门定向共享</t>
  </si>
  <si>
    <t>支持部门知识管理员将已经审核并正式形成的部门知识，定向共享给一个或多个指定部门，满足跨部门业务协同和知识复用需要。发起共享时，可选择目标部门、共享知识、共享期限，并根据实际协作需要设置查看、下载等使用权限并形成相应的操作记录。目标部门成员在获得授权后，可在相应入口查询、浏览和使用共享知识。</t>
  </si>
  <si>
    <t>部门知识跨部门定向共享权限调整</t>
  </si>
  <si>
    <t>共享发起部门可查看共享状态、目标部门和使用范围，并可根据知识有效性或协作关系延长时效或终止共享。知识发生更新、下架或失效时，应同步提示相关共享部门，防止继续使用过期内容。</t>
  </si>
  <si>
    <t>在线协同编纂工具整合</t>
  </si>
  <si>
    <t>整合在线协同编纂工具功能，覆盖在线编辑、文档预览、格式解析、多人协作修订留痕等基础功能以及右键智能应用扩展功能，打通协同创作与知识沉淀全流程，协作定稿的文档可直接同步沉淀至知识库，实现编纂、协作、入库、归档全流程高效衔接。</t>
  </si>
  <si>
    <t>版本管理</t>
  </si>
  <si>
    <t>知识文件版本管理</t>
  </si>
  <si>
    <t>用户上传已有知识文件的新内容时，系统可将其识别为新版本并与原文件建立版本关系，保留文件名称、版本编号、上传人员、更新时间及变更说明。</t>
  </si>
  <si>
    <t>知识协作版本管理</t>
  </si>
  <si>
    <t>多人在线协作过程中，系统可按照时间形成协作记录，保存即可形成新版本；用户可查看协作记录、预览历史版本、并在权限范围内恢复指定版本，版本调整不删除原有记录，确保知识文件更新到协作修改的全过程可查询、可追溯。</t>
  </si>
  <si>
    <t>知识统一检索</t>
  </si>
  <si>
    <t>基于统一标签体系和文档上传后形成的向量化知识库，融合知识名称、正文关键词、标签、文件类型等结构化条件与内容语义进行检索、筛选和相关度排序，能够识别表达不同但含义相近的查询内容，提高知识匹配和原文件定位的准确性。</t>
  </si>
  <si>
    <t>检索权限设置</t>
  </si>
  <si>
    <t>检索范围根据用户所属组织、角色及知识访问权限进行控制，无权访问、已下架或已失效的知识不参与检索和结果展示，确保用户仅能查询和使用授权范围内的知识。</t>
  </si>
  <si>
    <t>纠错反馈</t>
  </si>
  <si>
    <t>知识纠错反馈</t>
  </si>
  <si>
    <t>支持员工在系统各功能和业务环节中，对发现的信息错误、内容异常等影响使用的情况发起纠错反馈。用户可选择问题类型、填写问题说明并上传相关依据，系统根据知识所属层级、管理范围，将反馈自动发送给相应负责人并生成待办提醒。负责人核实并处理问题后，可在待办中确认完成，系统同步将处理结果反馈给纠错发起人，实现问题反馈、流转、处理和结果通知的全过程管理。</t>
  </si>
  <si>
    <t>全局智能问答</t>
  </si>
  <si>
    <t>支持用户通过自然语言查询全范围知识库。系统首先校验用户访问权限，并根据提问意图在授权范围内进行语义检索和内容匹配，汇总相关知识后生成完整、准确的回答。</t>
  </si>
  <si>
    <t>问答结果关联引用</t>
  </si>
  <si>
    <t>问答同步展示结果引用的关联文件，确保内容可追溯、可核验。支持查看引用文件原文，支持下载、分享，收藏引用关联文件。</t>
  </si>
  <si>
    <t>权限外知识申请</t>
  </si>
  <si>
    <t>对于权限范围外的相关知识，系统不展示具体内容，仅提示用户发起权限申请，并将申请提交至相应负责人审核。</t>
  </si>
  <si>
    <t>多模态检索</t>
  </si>
  <si>
    <t>跨模态知识检索</t>
  </si>
  <si>
    <t>基于前期入库时多模态大模型对图片、视频等视觉资源的理解与标注，检索匹配资源中的物体、场景、人物、文字、动作、时间、地点及核心语义信息，实现以文搜图、以图搜图、以图搜视频等跨模态检索功能。</t>
  </si>
  <si>
    <t>材料智能起草</t>
  </si>
  <si>
    <t>智能公文模板库</t>
  </si>
  <si>
    <t>系统通过收集和沉淀通知公告、会议材料、专项汇报、工作总结、请示报告、活动方案等常用公文模板，建设可统一管理、分类维护、快速调用的标准模板库和参考范文库。模板和范文可按照文种类型、业务场景、适用部门、材料用途等维度进行分类管理，支持用户根据写作需求快速查找匹配模板。</t>
  </si>
  <si>
    <t>起草需求解析与素材准备</t>
  </si>
  <si>
    <t>支持用户通过自然语言描述、模板选择或材料上传等方式提出起草需求。系统利用语义理解和意图识别能力，自动提取写作主题、使用场景、文稿类型及篇幅要求等关键信息，并转化为结构化写作任务。在此基础上，系统在用户知识权限范围内开展关键词检索和语义检索，对获取的素材进行相关度排序、去重和分类整理，形成与写作任务相匹配的素材集合，为后续文稿生成提供准确的内容支撑。</t>
  </si>
  <si>
    <t>文稿智能生成</t>
  </si>
  <si>
    <t>系统基于前期形成的写作任务、内容框架和已准备素材，按照对应文种的结构要求和公司写作规范组织内容，自动生成通知公告、会议材料、专项汇报、工作总结、请示报告等文稿初稿。支持按章节逐步生成，合理安排标题层级、段落顺序、重点内容和引用依据，确保素材能够准确应用到相应位置。用户可对文本内容润色调整，逐步完善文稿，最终形成结构完整、内容具体、可继续编辑的文稿。</t>
  </si>
  <si>
    <t>知识输出与入库沉淀</t>
  </si>
  <si>
    <t>支持将用户确认后的文稿草稿导出为Word、PDF、PPT等格式，保留文稿的排版样式与图表信息；支持一键保存至个人知识库或下载至本地，入库时发起智能标引与复核，经人工确认后即可完成入库，实现知识内容的持续积累与经验沉淀。</t>
  </si>
  <si>
    <t>文稿智能优化</t>
  </si>
  <si>
    <t>内容文稿润色交互完善</t>
  </si>
  <si>
    <t>结合在线编纂工具完成界面一体化适配，将润色能力融入编辑操作流程，支持右键或选中悬浮唤起；用户在文稿编辑过程中选择全文或指定内容润色，提供正式、简洁、专业等多种表达风格可选；。</t>
  </si>
  <si>
    <t>优化建议展示与快捷采纳</t>
  </si>
  <si>
    <t>编辑界面右侧面板分类展示结构优化、内容补充、语法错误修正等各类优化建议，每条建议同步对应正文定位、原文内容与调整说明；配套一键全文采纳、逐条采纳/忽略、重新生成优化结果等快捷操作，建议确认后自动同步写入正文，全程无需跳转页面即可完成全文稿优化处理。</t>
  </si>
  <si>
    <t>修订格式写入与导出</t>
  </si>
  <si>
    <t>优化建议采纳时，支持以标准修订格式写入文稿内部，针对每条修订内容可动态执行接受或拒绝操作；完整留存全流程修订记录，支持将带修订痕迹的稿件导出为 Word 格式，确保文稿优化全过程可追溯、修改可校验、成果可复用。</t>
  </si>
  <si>
    <t>智能办公助手</t>
  </si>
  <si>
    <t>悬浮式轻量化助手入口</t>
  </si>
  <si>
    <t>以悬浮弹窗组件形态常驻业务页面侧边，无需跳转独立知识管理页面，用户点击即可随时唤起助手交互面板；收起状态仅展示微型入口图标，不占用核心业务操作区域，兼顾功能易达性与业务页面整洁性。</t>
  </si>
  <si>
    <t>场景感知与知识问答</t>
  </si>
  <si>
    <t>构建“页面场景感知—知识库动态映射—智能问答生成—会话全链路管理”的完整能力体系，打通业务场景标签与知识分类标签的双向关联映射，实现贴合业务上下文的精准知识问答服务。
1.业务场景自动感知识别：深度适配BOMP系统内部采购管理、成本事项管理核心业务模块，通过页面上下文信息采集与业务节点识别引擎，自动感知当前页面所属业务域与具体操作环节（如内部需求计划提报、项目储备、项目立项等），精准锁定用户当前业务场景，为后续知识匹配提供细粒度场景定位依据。
2.基于场景标签与知识标签的预置关联规则，根据识别到的具体业务环节，动态匹配对应业务域的专属知识库范围，精准限定检索边界。针对采购类环节自动匹配采购管理制度、审批流程规范、采购限额标准、文件模板要求、会议管理规则等；针对成本事项类环节自动匹配项目管理办法、专业审查规范、审议工作规则、立项标准、验收要求、评估办法、风险管控要求等知识范围，过滤跨域无关信息干扰，保障知识匹配的精准性与业务相关性。
3.支持用户以自然语言发起即时知识问答，经语义解析、知识片段召回、答案聚合校验多环节处理后，返回结构化精准答复。用户可针对当前业务环节直接提问，如 “零星采购项目的审批流程是什么”“项目专业审查需要哪些材料” 等，系统结合场景上下文返回针对性解答；答复内容同步关联知识原文来源，支持一键溯源跳转至知识共享中心查看完整文档，实现答案可追溯、依据可查证。
4.多轮会话全链路管理：内置多轮对话会话管理机制，完整留存所有历史会话记录与对应业务场景标识。支持对话上下文自动继承，用户可基于已有问答结果连续追问补充，如先确认采购计划上报要求后，进一步追问 “上报的限额标准是多少”，系统结合业务场景上下文语义持续应答，实现连贯、递进的沉浸式业务知识辅助；会话记录支持按业务域、时间维度筛选回看，方便后续复用与查阅。</t>
  </si>
  <si>
    <t>常见问题快捷推荐</t>
  </si>
  <si>
    <t>基于BOMP系统内部采购、成本事项管理等功能模块预设常见问题与标准答案，用户在相应业务页面唤起悬浮助手，即可自动匹配并展示该业务环节的常见咨询问题，点击问题即可一键获取标准答复，简化手动输入提问的操作成本；支持多轮对话上下文交互，可基于已有问答结果继续追问补充，实现连贯的问题解答与信息延伸。</t>
  </si>
  <si>
    <t>智能总结分析</t>
  </si>
  <si>
    <t>知识速读</t>
  </si>
  <si>
    <t>在任意文档列表提供知识速读入口，识别解析文档摘要、核心结论、关键数据、适用范围、重要时间和责任部门输出等信息，帮助用户快速浏览知识文件内容。</t>
  </si>
  <si>
    <t>会议纪要解析与生成</t>
  </si>
  <si>
    <t>支持基于AI多模态理解与处理能力对上传至知识库的会议录音、文字记录进行全量解析，自动识别发言人、会议议题、主要讨论内容；从中提取会议决议、待办事项、责任人、完成时限等关键信息；按照标准会议纪要模板自动组织内容，生成结构化会议纪要。</t>
  </si>
  <si>
    <t>合同关键条款提取与摘要生成</t>
  </si>
  <si>
    <t>自动识别合同文档结构，按照预设的提取规则精准提取标的信息、合同金额、履行期限、违约责任、权利义务、争议解决等核心条款；按标准模板生成合同条款摘要，支撑快速浏览合同核心信息，辅助合同审核、归档与查阅。</t>
  </si>
  <si>
    <t>项目分析与阶段性报告生成</t>
  </si>
  <si>
    <t>基于在知识库中勾选的项目计划、阶段材料、进度数据等多源内容，自动识别里程碑完成情况、进度偏差、资源使用情况；匹配对应项目报告模板，自动填充相关数据，归纳阶段成果、存在问题与下一步计划，一键生成结构化的项目进展报告、阶段总结报告。</t>
  </si>
  <si>
    <t>本地文档智能整理助手</t>
  </si>
  <si>
    <t>本地文档扫描</t>
  </si>
  <si>
    <t>支持自定义扫描员工本地电脑指定目录/盘符，全覆盖办公文档、图片、压缩包、音视频等全类型文件资源；提取文档正文文本、文件属性、创建/修改时间等元数据，图片类文件本地 OCR 识别文字内容；支持增量扫描，仅扫描新增/变更文件，降低终端性能占用。</t>
  </si>
  <si>
    <t>本地文件去重</t>
  </si>
  <si>
    <t>基于文件哈希值、内容语义相似度双重校验，自动识别本地磁盘内的完全重复文件、高度相似文件、同一份文件的历史版本；支持按“最新版本保留、重复文件标记、历史版本归档”原则整理，辅助员工完成本地文件清理与版本归并，从源头减少云端重复上传。</t>
  </si>
  <si>
    <t>本地文件规范检查</t>
  </si>
  <si>
    <t>依据统一的文件命名规范、目录存储规范，自动扫描检查本地文件的名称格式、目录层级、存储路径合规性；精准识别无意义命名、同主题文件分散存放、目录层级过深/过浅、分类混乱等问题，并给出相关建议。</t>
  </si>
  <si>
    <t>分类标签推荐</t>
  </si>
  <si>
    <t>按照统一知识分类体系与标签体系，基于文件内容、文件名、存储路径自动推荐所属分类与知识标签；支持批量预打标，所有分类标签结果在本地预生成。</t>
  </si>
  <si>
    <t>整理清单可视化生成</t>
  </si>
  <si>
    <t>整合扫描、去重、规范检查、分类打标全部结果，自动生成完整的本地整理清单，可视化展示所有变更项：包含原文件名/建议文件名、原路径/目标路径、新增/调整标签、去重标记、问题说明，让员工直观知晓整理效果。</t>
  </si>
  <si>
    <t>人工复核与批量执行</t>
  </si>
  <si>
    <t>支持员工对整理方案进行人工复核：可批量接受全部建议、批量驳回、单条修改调整；确认后系统在本地自动执行整理操作：完成文件重命名、目录迁移、分类打标、重复文件归档/删除；执行前自动备份原始文件，支持一键回滚，避免误操作丢失文件。</t>
  </si>
  <si>
    <t>云端同步与任务全链路监控</t>
  </si>
  <si>
    <t>本地整理完成后，支持员工按需发起一键同步，将规范化后的文件及对应元数据、分类标签同步至云端知识库；提供本地任务队列监控面板，实时展示扫描、整理、同步全流程每个文件的等待、处理中、成功、失败状态；支持失败任务重试、同步结果回显、本地文件与云端知识库路径关联映射。</t>
  </si>
  <si>
    <t>合计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</si>
</sst>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4"/>
      <name val="宋体"/>
      <charset val="134"/>
      <scheme val="minor"/>
    </font>
    <font>
      <sz val="14"/>
      <name val="宋体"/>
      <charset val="134"/>
      <scheme val="minor"/>
    </font>
    <font>
      <sz val="14"/>
      <name val="宋体"/>
      <charset val="134"/>
    </font>
    <font>
      <sz val="14"/>
      <color rgb="FFFF0000"/>
      <name val="宋体"/>
      <charset val="134"/>
      <scheme val="minor"/>
    </font>
    <font>
      <sz val="14"/>
      <color rgb="FFFF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6"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7" applyNumberFormat="0" applyFill="0" applyAlignment="0" applyProtection="0">
      <alignment vertical="center"/>
    </xf>
    <xf numFmtId="0" fontId="12" fillId="0" borderId="7" applyNumberFormat="0" applyFill="0" applyAlignment="0" applyProtection="0">
      <alignment vertical="center"/>
    </xf>
    <xf numFmtId="0" fontId="13" fillId="0" borderId="8" applyNumberFormat="0" applyFill="0" applyAlignment="0" applyProtection="0">
      <alignment vertical="center"/>
    </xf>
    <xf numFmtId="0" fontId="13" fillId="0" borderId="0" applyNumberFormat="0" applyFill="0" applyBorder="0" applyAlignment="0" applyProtection="0">
      <alignment vertical="center"/>
    </xf>
    <xf numFmtId="0" fontId="14" fillId="4" borderId="9" applyNumberFormat="0" applyAlignment="0" applyProtection="0">
      <alignment vertical="center"/>
    </xf>
    <xf numFmtId="0" fontId="15" fillId="5" borderId="10" applyNumberFormat="0" applyAlignment="0" applyProtection="0">
      <alignment vertical="center"/>
    </xf>
    <xf numFmtId="0" fontId="16" fillId="5" borderId="9" applyNumberFormat="0" applyAlignment="0" applyProtection="0">
      <alignment vertical="center"/>
    </xf>
    <xf numFmtId="0" fontId="17" fillId="6" borderId="11" applyNumberFormat="0" applyAlignment="0" applyProtection="0">
      <alignment vertical="center"/>
    </xf>
    <xf numFmtId="0" fontId="18" fillId="0" borderId="12" applyNumberFormat="0" applyFill="0" applyAlignment="0" applyProtection="0">
      <alignment vertical="center"/>
    </xf>
    <xf numFmtId="0" fontId="19" fillId="0" borderId="13"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27">
    <xf numFmtId="0" fontId="0" fillId="0" borderId="0" xfId="0">
      <alignment vertic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0" fontId="4" fillId="0" borderId="2"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2" fillId="0" borderId="3" xfId="0" applyFont="1" applyBorder="1" applyAlignment="1">
      <alignment horizontal="center" vertical="center" wrapText="1"/>
    </xf>
    <xf numFmtId="0" fontId="2" fillId="0" borderId="1" xfId="0" applyFont="1" applyBorder="1" applyAlignment="1">
      <alignment horizontal="justify" vertical="center" wrapText="1"/>
    </xf>
    <xf numFmtId="0" fontId="2" fillId="0" borderId="1" xfId="0" applyFont="1" applyBorder="1" applyAlignment="1">
      <alignment wrapText="1"/>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horizontal="justify" vertical="center" wrapText="1"/>
    </xf>
    <xf numFmtId="0" fontId="2" fillId="0" borderId="0" xfId="0" applyFont="1" applyAlignment="1">
      <alignment horizontal="center" vertical="center" wrapText="1"/>
    </xf>
    <xf numFmtId="0" fontId="3" fillId="0" borderId="2" xfId="0" applyFont="1" applyBorder="1" applyAlignment="1">
      <alignment horizontal="center" vertical="center" wrapText="1"/>
    </xf>
    <xf numFmtId="0" fontId="4"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1" xfId="0" applyFont="1" applyFill="1" applyBorder="1" applyAlignment="1">
      <alignment horizontal="justify" vertical="center" wrapText="1"/>
    </xf>
    <xf numFmtId="0" fontId="5" fillId="2" borderId="1" xfId="0" applyFont="1" applyFill="1" applyBorder="1" applyAlignment="1">
      <alignment horizontal="center" vertical="center" wrapText="1"/>
    </xf>
    <xf numFmtId="0" fontId="2" fillId="2" borderId="1" xfId="0" applyFont="1" applyFill="1" applyBorder="1" applyAlignment="1">
      <alignment horizontal="justify" vertical="center" wrapText="1"/>
    </xf>
    <xf numFmtId="0" fontId="2" fillId="0" borderId="1" xfId="0" applyFont="1" applyBorder="1" applyAlignment="1">
      <alignment vertical="center" wrapText="1"/>
    </xf>
    <xf numFmtId="0" fontId="5" fillId="0" borderId="1" xfId="0" applyFont="1" applyFill="1" applyBorder="1" applyAlignment="1">
      <alignment horizontal="left" vertical="center" wrapText="1"/>
    </xf>
    <xf numFmtId="0" fontId="2" fillId="0" borderId="5" xfId="0" applyFont="1" applyBorder="1" applyAlignment="1">
      <alignment horizontal="center" vertical="center" wrapText="1"/>
    </xf>
    <xf numFmtId="0" fontId="2" fillId="0" borderId="0" xfId="0" applyFont="1" applyAlignment="1">
      <alignment wrapText="1"/>
    </xf>
    <xf numFmtId="0" fontId="2" fillId="0" borderId="0" xfId="0" applyFont="1" applyAlignment="1">
      <alignment horizontal="center" wrapText="1"/>
    </xf>
    <xf numFmtId="0" fontId="2"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4"/>
  <sheetViews>
    <sheetView tabSelected="1" zoomScale="95" zoomScaleNormal="95" workbookViewId="0">
      <selection activeCell="H5" sqref="H5"/>
    </sheetView>
  </sheetViews>
  <sheetFormatPr defaultColWidth="9" defaultRowHeight="16.8"/>
  <cols>
    <col min="4" max="4" width="17.625" customWidth="1"/>
    <col min="6" max="6" width="29.0178571428571" customWidth="1"/>
    <col min="8" max="8" width="93.0089285714286" customWidth="1"/>
    <col min="9" max="9" width="14.125" customWidth="1"/>
    <col min="10" max="10" width="12.875" customWidth="1"/>
    <col min="11" max="11" width="13.125" customWidth="1"/>
    <col min="12" max="12" width="17.875" customWidth="1"/>
  </cols>
  <sheetData>
    <row r="1" ht="41" spans="1:12">
      <c r="A1" s="1" t="s">
        <v>0</v>
      </c>
      <c r="B1" s="1" t="s">
        <v>1</v>
      </c>
      <c r="C1" s="1" t="s">
        <v>2</v>
      </c>
      <c r="D1" s="1" t="s">
        <v>3</v>
      </c>
      <c r="E1" s="1" t="s">
        <v>2</v>
      </c>
      <c r="F1" s="1" t="s">
        <v>4</v>
      </c>
      <c r="G1" s="1" t="s">
        <v>2</v>
      </c>
      <c r="H1" s="1" t="s">
        <v>5</v>
      </c>
      <c r="I1" s="1" t="s">
        <v>6</v>
      </c>
      <c r="J1" s="1" t="s">
        <v>7</v>
      </c>
      <c r="K1" s="1" t="s">
        <v>8</v>
      </c>
      <c r="L1" s="1" t="s">
        <v>9</v>
      </c>
    </row>
    <row r="2" ht="62" spans="1:12">
      <c r="A2" s="2">
        <v>1</v>
      </c>
      <c r="B2" s="2" t="s">
        <v>10</v>
      </c>
      <c r="C2" s="2" t="s">
        <v>11</v>
      </c>
      <c r="D2" s="2" t="s">
        <v>12</v>
      </c>
      <c r="E2" s="2" t="s">
        <v>11</v>
      </c>
      <c r="F2" s="2" t="s">
        <v>13</v>
      </c>
      <c r="G2" s="2" t="s">
        <v>14</v>
      </c>
      <c r="H2" s="3" t="s">
        <v>15</v>
      </c>
      <c r="I2" s="2">
        <v>1</v>
      </c>
      <c r="J2" s="2">
        <v>1</v>
      </c>
      <c r="K2" s="2">
        <f>I2*J2</f>
        <v>1</v>
      </c>
      <c r="L2" s="1"/>
    </row>
    <row r="3" ht="62" spans="1:12">
      <c r="A3" s="2">
        <v>2</v>
      </c>
      <c r="B3" s="2"/>
      <c r="C3" s="2"/>
      <c r="D3" s="2"/>
      <c r="E3" s="2"/>
      <c r="F3" s="2" t="s">
        <v>16</v>
      </c>
      <c r="G3" s="2" t="s">
        <v>14</v>
      </c>
      <c r="H3" s="4" t="s">
        <v>17</v>
      </c>
      <c r="I3" s="2">
        <v>1</v>
      </c>
      <c r="J3" s="2">
        <v>1</v>
      </c>
      <c r="K3" s="2">
        <f t="shared" ref="K3:K34" si="0">I3*J3</f>
        <v>1</v>
      </c>
      <c r="L3" s="1"/>
    </row>
    <row r="4" ht="102" spans="1:12">
      <c r="A4" s="2"/>
      <c r="B4" s="2"/>
      <c r="C4" s="2"/>
      <c r="D4" s="5" t="s">
        <v>18</v>
      </c>
      <c r="E4" s="5" t="s">
        <v>14</v>
      </c>
      <c r="F4" s="6" t="s">
        <v>19</v>
      </c>
      <c r="G4" s="6" t="s">
        <v>14</v>
      </c>
      <c r="H4" s="7" t="s">
        <v>20</v>
      </c>
      <c r="I4" s="2">
        <v>1</v>
      </c>
      <c r="J4" s="2">
        <v>1</v>
      </c>
      <c r="K4" s="2">
        <f t="shared" si="0"/>
        <v>1</v>
      </c>
      <c r="L4" s="2"/>
    </row>
    <row r="5" ht="102" spans="1:12">
      <c r="A5" s="2"/>
      <c r="B5" s="2"/>
      <c r="C5" s="2"/>
      <c r="D5" s="2" t="s">
        <v>21</v>
      </c>
      <c r="E5" s="8" t="s">
        <v>11</v>
      </c>
      <c r="F5" s="2" t="s">
        <v>22</v>
      </c>
      <c r="G5" s="2" t="s">
        <v>11</v>
      </c>
      <c r="H5" s="9" t="s">
        <v>23</v>
      </c>
      <c r="I5" s="2">
        <v>1</v>
      </c>
      <c r="J5" s="2">
        <v>1</v>
      </c>
      <c r="K5" s="2">
        <f t="shared" si="0"/>
        <v>1</v>
      </c>
      <c r="L5" s="10"/>
    </row>
    <row r="6" ht="123" spans="1:12">
      <c r="A6" s="2"/>
      <c r="B6" s="2"/>
      <c r="C6" s="2"/>
      <c r="D6" s="2"/>
      <c r="E6" s="8"/>
      <c r="F6" s="2" t="s">
        <v>24</v>
      </c>
      <c r="G6" s="2" t="s">
        <v>11</v>
      </c>
      <c r="H6" s="9" t="s">
        <v>25</v>
      </c>
      <c r="I6" s="2">
        <v>1</v>
      </c>
      <c r="J6" s="2">
        <v>1</v>
      </c>
      <c r="K6" s="2">
        <f t="shared" si="0"/>
        <v>1</v>
      </c>
      <c r="L6" s="10"/>
    </row>
    <row r="7" ht="82" spans="1:12">
      <c r="A7" s="2"/>
      <c r="B7" s="2"/>
      <c r="C7" s="2"/>
      <c r="D7" s="2"/>
      <c r="E7" s="8"/>
      <c r="F7" s="2" t="s">
        <v>26</v>
      </c>
      <c r="G7" s="2" t="s">
        <v>11</v>
      </c>
      <c r="H7" s="9" t="s">
        <v>27</v>
      </c>
      <c r="I7" s="2">
        <v>1</v>
      </c>
      <c r="J7" s="2">
        <v>1</v>
      </c>
      <c r="K7" s="2">
        <f t="shared" si="0"/>
        <v>1</v>
      </c>
      <c r="L7" s="10"/>
    </row>
    <row r="8" ht="62" spans="1:12">
      <c r="A8" s="2"/>
      <c r="B8" s="2"/>
      <c r="C8" s="2"/>
      <c r="D8" s="11" t="s">
        <v>28</v>
      </c>
      <c r="E8" s="12" t="s">
        <v>11</v>
      </c>
      <c r="F8" s="2" t="s">
        <v>29</v>
      </c>
      <c r="G8" s="2" t="s">
        <v>11</v>
      </c>
      <c r="H8" s="9" t="s">
        <v>30</v>
      </c>
      <c r="I8" s="2">
        <v>1</v>
      </c>
      <c r="J8" s="2">
        <v>1</v>
      </c>
      <c r="K8" s="2">
        <f t="shared" si="0"/>
        <v>1</v>
      </c>
      <c r="L8" s="10"/>
    </row>
    <row r="9" ht="62" spans="1:12">
      <c r="A9" s="2"/>
      <c r="B9" s="2"/>
      <c r="C9" s="2"/>
      <c r="D9" s="11"/>
      <c r="E9" s="12"/>
      <c r="F9" s="2" t="s">
        <v>31</v>
      </c>
      <c r="G9" s="2" t="s">
        <v>11</v>
      </c>
      <c r="H9" s="9" t="s">
        <v>32</v>
      </c>
      <c r="I9" s="2">
        <v>1</v>
      </c>
      <c r="J9" s="2">
        <v>1</v>
      </c>
      <c r="K9" s="2">
        <f t="shared" si="0"/>
        <v>1</v>
      </c>
      <c r="L9" s="10"/>
    </row>
    <row r="10" ht="102" spans="1:12">
      <c r="A10" s="2"/>
      <c r="B10" s="2"/>
      <c r="C10" s="2"/>
      <c r="D10" s="12" t="s">
        <v>33</v>
      </c>
      <c r="E10" s="12" t="s">
        <v>11</v>
      </c>
      <c r="F10" s="12" t="s">
        <v>34</v>
      </c>
      <c r="G10" s="12" t="s">
        <v>11</v>
      </c>
      <c r="H10" s="13" t="s">
        <v>35</v>
      </c>
      <c r="I10" s="2">
        <v>1</v>
      </c>
      <c r="J10" s="2">
        <v>1</v>
      </c>
      <c r="K10" s="2">
        <f t="shared" si="0"/>
        <v>1</v>
      </c>
      <c r="L10" s="1"/>
    </row>
    <row r="11" ht="62" spans="1:12">
      <c r="A11" s="2"/>
      <c r="B11" s="2"/>
      <c r="C11" s="2"/>
      <c r="D11" s="2" t="s">
        <v>36</v>
      </c>
      <c r="E11" s="2" t="s">
        <v>11</v>
      </c>
      <c r="F11" s="2" t="s">
        <v>37</v>
      </c>
      <c r="G11" s="2" t="s">
        <v>14</v>
      </c>
      <c r="H11" s="9" t="s">
        <v>38</v>
      </c>
      <c r="I11" s="2">
        <v>1</v>
      </c>
      <c r="J11" s="2">
        <v>1</v>
      </c>
      <c r="K11" s="2">
        <f t="shared" si="0"/>
        <v>1</v>
      </c>
      <c r="L11" s="1"/>
    </row>
    <row r="12" ht="62" spans="1:12">
      <c r="A12" s="2"/>
      <c r="B12" s="2"/>
      <c r="C12" s="2"/>
      <c r="D12" s="2"/>
      <c r="E12" s="2"/>
      <c r="F12" s="2" t="s">
        <v>39</v>
      </c>
      <c r="G12" s="2" t="s">
        <v>14</v>
      </c>
      <c r="H12" s="9" t="s">
        <v>40</v>
      </c>
      <c r="I12" s="2">
        <v>1</v>
      </c>
      <c r="J12" s="2">
        <v>1</v>
      </c>
      <c r="K12" s="2">
        <f t="shared" si="0"/>
        <v>1</v>
      </c>
      <c r="L12" s="10"/>
    </row>
    <row r="13" ht="82" spans="1:12">
      <c r="A13" s="2"/>
      <c r="B13" s="2"/>
      <c r="C13" s="2"/>
      <c r="D13" s="2"/>
      <c r="E13" s="2"/>
      <c r="F13" s="2" t="s">
        <v>41</v>
      </c>
      <c r="G13" s="2" t="s">
        <v>14</v>
      </c>
      <c r="H13" s="9" t="s">
        <v>42</v>
      </c>
      <c r="I13" s="2">
        <v>1</v>
      </c>
      <c r="J13" s="2">
        <v>1</v>
      </c>
      <c r="K13" s="2">
        <f t="shared" si="0"/>
        <v>1</v>
      </c>
      <c r="L13" s="10"/>
    </row>
    <row r="14" ht="82" spans="1:12">
      <c r="A14" s="2"/>
      <c r="B14" s="2"/>
      <c r="C14" s="2"/>
      <c r="D14" s="2"/>
      <c r="E14" s="2"/>
      <c r="F14" s="2" t="s">
        <v>43</v>
      </c>
      <c r="G14" s="2" t="s">
        <v>14</v>
      </c>
      <c r="H14" s="9" t="s">
        <v>44</v>
      </c>
      <c r="I14" s="2">
        <v>1</v>
      </c>
      <c r="J14" s="2">
        <v>1</v>
      </c>
      <c r="K14" s="2">
        <f t="shared" si="0"/>
        <v>1</v>
      </c>
      <c r="L14" s="10"/>
    </row>
    <row r="15" ht="62" spans="1:12">
      <c r="A15" s="2">
        <v>3</v>
      </c>
      <c r="B15" s="2"/>
      <c r="C15" s="2"/>
      <c r="D15" s="2"/>
      <c r="E15" s="2"/>
      <c r="F15" s="2" t="s">
        <v>45</v>
      </c>
      <c r="G15" s="2" t="s">
        <v>14</v>
      </c>
      <c r="H15" s="9" t="s">
        <v>46</v>
      </c>
      <c r="I15" s="2">
        <v>1</v>
      </c>
      <c r="J15" s="2">
        <v>1</v>
      </c>
      <c r="K15" s="2">
        <f t="shared" si="0"/>
        <v>1</v>
      </c>
      <c r="L15" s="10"/>
    </row>
    <row r="16" ht="62" spans="1:12">
      <c r="A16" s="2">
        <v>4</v>
      </c>
      <c r="B16" s="2"/>
      <c r="C16" s="2"/>
      <c r="D16" s="14" t="s">
        <v>47</v>
      </c>
      <c r="E16" s="12" t="s">
        <v>11</v>
      </c>
      <c r="F16" s="2" t="s">
        <v>48</v>
      </c>
      <c r="G16" s="2" t="s">
        <v>11</v>
      </c>
      <c r="H16" s="9" t="s">
        <v>49</v>
      </c>
      <c r="I16" s="2">
        <v>1</v>
      </c>
      <c r="J16" s="2">
        <v>1</v>
      </c>
      <c r="K16" s="2">
        <f t="shared" si="0"/>
        <v>1</v>
      </c>
      <c r="L16" s="10"/>
    </row>
    <row r="17" ht="82" spans="1:12">
      <c r="A17" s="2">
        <v>5</v>
      </c>
      <c r="B17" s="2"/>
      <c r="C17" s="2"/>
      <c r="D17" s="14"/>
      <c r="E17" s="12"/>
      <c r="F17" s="2" t="s">
        <v>50</v>
      </c>
      <c r="G17" s="12" t="s">
        <v>14</v>
      </c>
      <c r="H17" s="9" t="s">
        <v>51</v>
      </c>
      <c r="I17" s="2">
        <v>1</v>
      </c>
      <c r="J17" s="2">
        <v>1</v>
      </c>
      <c r="K17" s="2">
        <f t="shared" si="0"/>
        <v>1</v>
      </c>
      <c r="L17" s="10"/>
    </row>
    <row r="18" ht="82" spans="1:12">
      <c r="A18" s="2">
        <v>6</v>
      </c>
      <c r="B18" s="2"/>
      <c r="C18" s="2"/>
      <c r="D18" s="14"/>
      <c r="E18" s="12"/>
      <c r="F18" s="2" t="s">
        <v>52</v>
      </c>
      <c r="G18" s="12" t="s">
        <v>14</v>
      </c>
      <c r="H18" s="9" t="s">
        <v>53</v>
      </c>
      <c r="I18" s="2">
        <v>1</v>
      </c>
      <c r="J18" s="2">
        <v>1</v>
      </c>
      <c r="K18" s="2">
        <f t="shared" si="0"/>
        <v>1</v>
      </c>
      <c r="L18" s="10"/>
    </row>
    <row r="19" ht="62" spans="1:12">
      <c r="A19" s="2">
        <v>7</v>
      </c>
      <c r="B19" s="2"/>
      <c r="C19" s="2"/>
      <c r="D19" s="14"/>
      <c r="E19" s="12"/>
      <c r="F19" s="2" t="s">
        <v>54</v>
      </c>
      <c r="G19" s="12" t="s">
        <v>14</v>
      </c>
      <c r="H19" s="9" t="s">
        <v>55</v>
      </c>
      <c r="I19" s="2">
        <v>1</v>
      </c>
      <c r="J19" s="2">
        <v>1</v>
      </c>
      <c r="K19" s="2">
        <f t="shared" si="0"/>
        <v>1</v>
      </c>
      <c r="L19" s="10"/>
    </row>
    <row r="20" ht="62" spans="1:12">
      <c r="A20" s="2">
        <v>8</v>
      </c>
      <c r="B20" s="2"/>
      <c r="C20" s="2"/>
      <c r="D20" s="14"/>
      <c r="E20" s="12"/>
      <c r="F20" s="2" t="s">
        <v>56</v>
      </c>
      <c r="G20" s="12" t="s">
        <v>11</v>
      </c>
      <c r="H20" s="9" t="s">
        <v>57</v>
      </c>
      <c r="I20" s="2">
        <v>1</v>
      </c>
      <c r="J20" s="2">
        <v>1</v>
      </c>
      <c r="K20" s="2">
        <f t="shared" si="0"/>
        <v>1</v>
      </c>
      <c r="L20" s="10"/>
    </row>
    <row r="21" ht="143" spans="1:12">
      <c r="A21" s="2">
        <v>9</v>
      </c>
      <c r="B21" s="2"/>
      <c r="C21" s="2"/>
      <c r="D21" s="12" t="s">
        <v>58</v>
      </c>
      <c r="E21" s="15" t="s">
        <v>11</v>
      </c>
      <c r="F21" s="16" t="s">
        <v>59</v>
      </c>
      <c r="G21" s="17" t="s">
        <v>11</v>
      </c>
      <c r="H21" s="18" t="s">
        <v>60</v>
      </c>
      <c r="I21" s="2">
        <v>1</v>
      </c>
      <c r="J21" s="2">
        <v>1</v>
      </c>
      <c r="K21" s="2">
        <f t="shared" si="0"/>
        <v>1</v>
      </c>
      <c r="L21" s="10"/>
    </row>
    <row r="22" ht="164" spans="1:12">
      <c r="A22" s="2">
        <v>10</v>
      </c>
      <c r="B22" s="2"/>
      <c r="C22" s="2"/>
      <c r="D22" s="12"/>
      <c r="E22" s="12"/>
      <c r="F22" s="19" t="s">
        <v>61</v>
      </c>
      <c r="G22" s="17" t="s">
        <v>11</v>
      </c>
      <c r="H22" s="18" t="s">
        <v>62</v>
      </c>
      <c r="I22" s="2">
        <v>1</v>
      </c>
      <c r="J22" s="2">
        <v>1</v>
      </c>
      <c r="K22" s="2">
        <f t="shared" si="0"/>
        <v>1</v>
      </c>
      <c r="L22" s="10"/>
    </row>
    <row r="23" ht="82" spans="1:12">
      <c r="A23" s="2">
        <v>11</v>
      </c>
      <c r="B23" s="2"/>
      <c r="C23" s="2"/>
      <c r="D23" s="2" t="s">
        <v>63</v>
      </c>
      <c r="E23" s="2" t="s">
        <v>14</v>
      </c>
      <c r="F23" s="2" t="s">
        <v>64</v>
      </c>
      <c r="G23" s="12" t="s">
        <v>14</v>
      </c>
      <c r="H23" s="9" t="s">
        <v>65</v>
      </c>
      <c r="I23" s="2">
        <v>1</v>
      </c>
      <c r="J23" s="2">
        <v>1</v>
      </c>
      <c r="K23" s="2">
        <f t="shared" si="0"/>
        <v>1</v>
      </c>
      <c r="L23" s="10"/>
    </row>
    <row r="24" ht="62" spans="1:12">
      <c r="A24" s="2">
        <v>12</v>
      </c>
      <c r="B24" s="2"/>
      <c r="C24" s="2"/>
      <c r="D24" s="2"/>
      <c r="E24" s="2"/>
      <c r="F24" s="2" t="s">
        <v>66</v>
      </c>
      <c r="G24" s="12" t="s">
        <v>14</v>
      </c>
      <c r="H24" s="9" t="s">
        <v>67</v>
      </c>
      <c r="I24" s="2">
        <v>1</v>
      </c>
      <c r="J24" s="2">
        <v>1</v>
      </c>
      <c r="K24" s="2">
        <f t="shared" si="0"/>
        <v>1</v>
      </c>
      <c r="L24" s="10"/>
    </row>
    <row r="25" ht="41" spans="1:12">
      <c r="A25" s="2">
        <v>13</v>
      </c>
      <c r="B25" s="2"/>
      <c r="C25" s="2"/>
      <c r="D25" s="2"/>
      <c r="E25" s="2"/>
      <c r="F25" s="2" t="s">
        <v>68</v>
      </c>
      <c r="G25" s="12" t="s">
        <v>14</v>
      </c>
      <c r="H25" s="9" t="s">
        <v>69</v>
      </c>
      <c r="I25" s="2">
        <v>1</v>
      </c>
      <c r="J25" s="2">
        <v>1</v>
      </c>
      <c r="K25" s="2">
        <f t="shared" si="0"/>
        <v>1</v>
      </c>
      <c r="L25" s="10"/>
    </row>
    <row r="26" ht="41" spans="1:12">
      <c r="A26" s="2">
        <v>14</v>
      </c>
      <c r="B26" s="2"/>
      <c r="C26" s="2"/>
      <c r="D26" s="2"/>
      <c r="E26" s="2"/>
      <c r="F26" s="2" t="s">
        <v>70</v>
      </c>
      <c r="G26" s="12" t="s">
        <v>14</v>
      </c>
      <c r="H26" s="9" t="s">
        <v>71</v>
      </c>
      <c r="I26" s="2">
        <v>1</v>
      </c>
      <c r="J26" s="2">
        <v>1</v>
      </c>
      <c r="K26" s="2">
        <f t="shared" si="0"/>
        <v>1</v>
      </c>
      <c r="L26" s="10"/>
    </row>
    <row r="27" ht="82" spans="1:12">
      <c r="A27" s="2">
        <v>15</v>
      </c>
      <c r="B27" s="2"/>
      <c r="C27" s="2"/>
      <c r="D27" s="2"/>
      <c r="E27" s="2"/>
      <c r="F27" s="2" t="s">
        <v>72</v>
      </c>
      <c r="G27" s="2" t="s">
        <v>14</v>
      </c>
      <c r="H27" s="9" t="s">
        <v>73</v>
      </c>
      <c r="I27" s="2">
        <v>1</v>
      </c>
      <c r="J27" s="2">
        <v>1</v>
      </c>
      <c r="K27" s="2">
        <f t="shared" si="0"/>
        <v>1</v>
      </c>
      <c r="L27" s="10"/>
    </row>
    <row r="28" ht="62" spans="1:12">
      <c r="A28" s="2">
        <v>16</v>
      </c>
      <c r="B28" s="2"/>
      <c r="C28" s="2"/>
      <c r="D28" s="2" t="s">
        <v>74</v>
      </c>
      <c r="E28" s="2" t="s">
        <v>11</v>
      </c>
      <c r="F28" s="2" t="s">
        <v>75</v>
      </c>
      <c r="G28" s="2" t="s">
        <v>14</v>
      </c>
      <c r="H28" s="9" t="s">
        <v>76</v>
      </c>
      <c r="I28" s="2">
        <v>1</v>
      </c>
      <c r="J28" s="2">
        <v>1</v>
      </c>
      <c r="K28" s="2">
        <f t="shared" si="0"/>
        <v>1</v>
      </c>
      <c r="L28" s="10"/>
    </row>
    <row r="29" ht="41" spans="1:12">
      <c r="A29" s="2">
        <v>17</v>
      </c>
      <c r="B29" s="2"/>
      <c r="C29" s="2"/>
      <c r="D29" s="2"/>
      <c r="E29" s="2"/>
      <c r="F29" s="2" t="s">
        <v>77</v>
      </c>
      <c r="G29" s="2" t="s">
        <v>14</v>
      </c>
      <c r="H29" s="9" t="s">
        <v>78</v>
      </c>
      <c r="I29" s="2">
        <v>1</v>
      </c>
      <c r="J29" s="2">
        <v>1</v>
      </c>
      <c r="K29" s="2">
        <f t="shared" si="0"/>
        <v>1</v>
      </c>
      <c r="L29" s="10"/>
    </row>
    <row r="30" ht="102" spans="1:12">
      <c r="A30" s="2">
        <v>18</v>
      </c>
      <c r="B30" s="2"/>
      <c r="C30" s="2"/>
      <c r="D30" s="2"/>
      <c r="E30" s="2"/>
      <c r="F30" s="2" t="s">
        <v>79</v>
      </c>
      <c r="G30" s="2" t="s">
        <v>14</v>
      </c>
      <c r="H30" s="9" t="s">
        <v>80</v>
      </c>
      <c r="I30" s="2">
        <v>1</v>
      </c>
      <c r="J30" s="2">
        <v>1</v>
      </c>
      <c r="K30" s="2">
        <f t="shared" si="0"/>
        <v>1</v>
      </c>
      <c r="L30" s="10"/>
    </row>
    <row r="31" ht="62" spans="1:12">
      <c r="A31" s="2">
        <v>19</v>
      </c>
      <c r="B31" s="2"/>
      <c r="C31" s="2"/>
      <c r="D31" s="2"/>
      <c r="E31" s="2"/>
      <c r="F31" s="2" t="s">
        <v>81</v>
      </c>
      <c r="G31" s="2" t="s">
        <v>14</v>
      </c>
      <c r="H31" s="9" t="s">
        <v>82</v>
      </c>
      <c r="I31" s="2">
        <v>1</v>
      </c>
      <c r="J31" s="2">
        <v>1</v>
      </c>
      <c r="K31" s="2">
        <f t="shared" si="0"/>
        <v>1</v>
      </c>
      <c r="L31" s="10"/>
    </row>
    <row r="32" ht="82" spans="1:12">
      <c r="A32" s="2">
        <v>20</v>
      </c>
      <c r="B32" s="2"/>
      <c r="C32" s="2"/>
      <c r="D32" s="2" t="s">
        <v>83</v>
      </c>
      <c r="E32" s="2" t="s">
        <v>14</v>
      </c>
      <c r="F32" s="2" t="s">
        <v>83</v>
      </c>
      <c r="G32" s="2" t="s">
        <v>14</v>
      </c>
      <c r="H32" s="9" t="s">
        <v>84</v>
      </c>
      <c r="I32" s="2">
        <v>1</v>
      </c>
      <c r="J32" s="2">
        <v>1</v>
      </c>
      <c r="K32" s="2">
        <f t="shared" si="0"/>
        <v>1</v>
      </c>
      <c r="L32" s="1"/>
    </row>
    <row r="33" ht="41" spans="1:12">
      <c r="A33" s="2">
        <v>21</v>
      </c>
      <c r="B33" s="2"/>
      <c r="C33" s="2"/>
      <c r="D33" s="2" t="s">
        <v>85</v>
      </c>
      <c r="E33" s="2" t="s">
        <v>11</v>
      </c>
      <c r="F33" s="2" t="s">
        <v>86</v>
      </c>
      <c r="G33" s="2" t="s">
        <v>14</v>
      </c>
      <c r="H33" s="20" t="s">
        <v>87</v>
      </c>
      <c r="I33" s="2">
        <v>1</v>
      </c>
      <c r="J33" s="2">
        <v>1</v>
      </c>
      <c r="K33" s="2">
        <f t="shared" si="0"/>
        <v>1</v>
      </c>
      <c r="L33" s="1"/>
    </row>
    <row r="34" ht="62" spans="1:12">
      <c r="A34" s="2">
        <v>22</v>
      </c>
      <c r="B34" s="2"/>
      <c r="C34" s="2"/>
      <c r="D34" s="2"/>
      <c r="E34" s="2"/>
      <c r="F34" s="2" t="s">
        <v>88</v>
      </c>
      <c r="G34" s="2" t="s">
        <v>14</v>
      </c>
      <c r="H34" s="9" t="s">
        <v>89</v>
      </c>
      <c r="I34" s="2">
        <v>1</v>
      </c>
      <c r="J34" s="2">
        <v>1</v>
      </c>
      <c r="K34" s="2">
        <f t="shared" si="0"/>
        <v>1</v>
      </c>
      <c r="L34" s="1"/>
    </row>
    <row r="35" ht="62" spans="1:12">
      <c r="A35" s="2">
        <v>31</v>
      </c>
      <c r="B35" s="2"/>
      <c r="C35" s="2"/>
      <c r="D35" s="12" t="s">
        <v>90</v>
      </c>
      <c r="E35" s="2" t="s">
        <v>11</v>
      </c>
      <c r="F35" s="2" t="s">
        <v>90</v>
      </c>
      <c r="G35" s="2" t="s">
        <v>11</v>
      </c>
      <c r="H35" s="9" t="s">
        <v>91</v>
      </c>
      <c r="I35" s="2">
        <v>1</v>
      </c>
      <c r="J35" s="2">
        <v>1</v>
      </c>
      <c r="K35" s="2">
        <f t="shared" ref="K35:K62" si="1">I35*J35</f>
        <v>1</v>
      </c>
      <c r="L35" s="10"/>
    </row>
    <row r="36" ht="62" spans="1:12">
      <c r="A36" s="2">
        <v>32</v>
      </c>
      <c r="B36" s="2"/>
      <c r="C36" s="2"/>
      <c r="D36" s="12"/>
      <c r="E36" s="2"/>
      <c r="F36" s="2" t="s">
        <v>92</v>
      </c>
      <c r="G36" s="2" t="s">
        <v>11</v>
      </c>
      <c r="H36" s="4" t="s">
        <v>93</v>
      </c>
      <c r="I36" s="2">
        <v>1</v>
      </c>
      <c r="J36" s="2">
        <v>1</v>
      </c>
      <c r="K36" s="2">
        <f t="shared" si="1"/>
        <v>1</v>
      </c>
      <c r="L36" s="10"/>
    </row>
    <row r="37" ht="102" spans="1:12">
      <c r="A37" s="2">
        <v>33</v>
      </c>
      <c r="B37" s="2"/>
      <c r="C37" s="2"/>
      <c r="D37" s="2" t="s">
        <v>94</v>
      </c>
      <c r="E37" s="2" t="s">
        <v>14</v>
      </c>
      <c r="F37" s="2" t="s">
        <v>95</v>
      </c>
      <c r="G37" s="2" t="s">
        <v>14</v>
      </c>
      <c r="H37" s="4" t="s">
        <v>96</v>
      </c>
      <c r="I37" s="2">
        <v>1</v>
      </c>
      <c r="J37" s="2">
        <v>1</v>
      </c>
      <c r="K37" s="2">
        <f t="shared" si="1"/>
        <v>1</v>
      </c>
      <c r="L37" s="10"/>
    </row>
    <row r="38" ht="62" spans="1:12">
      <c r="A38" s="2">
        <v>39</v>
      </c>
      <c r="B38" s="2"/>
      <c r="C38" s="2"/>
      <c r="D38" s="2" t="s">
        <v>97</v>
      </c>
      <c r="E38" s="2" t="s">
        <v>11</v>
      </c>
      <c r="F38" s="2" t="s">
        <v>97</v>
      </c>
      <c r="G38" s="2" t="s">
        <v>14</v>
      </c>
      <c r="H38" s="9" t="s">
        <v>98</v>
      </c>
      <c r="I38" s="2">
        <v>1</v>
      </c>
      <c r="J38" s="2">
        <v>1</v>
      </c>
      <c r="K38" s="2">
        <f t="shared" si="1"/>
        <v>1</v>
      </c>
      <c r="L38" s="10"/>
    </row>
    <row r="39" ht="41" spans="1:12">
      <c r="A39" s="2">
        <v>40</v>
      </c>
      <c r="B39" s="2"/>
      <c r="C39" s="2"/>
      <c r="D39" s="2"/>
      <c r="E39" s="2"/>
      <c r="F39" s="2" t="s">
        <v>99</v>
      </c>
      <c r="G39" s="2" t="s">
        <v>14</v>
      </c>
      <c r="H39" s="9" t="s">
        <v>100</v>
      </c>
      <c r="I39" s="2">
        <v>1</v>
      </c>
      <c r="J39" s="2">
        <v>1</v>
      </c>
      <c r="K39" s="2">
        <f t="shared" si="1"/>
        <v>1</v>
      </c>
      <c r="L39" s="10"/>
    </row>
    <row r="40" ht="41" spans="1:12">
      <c r="A40" s="2">
        <v>41</v>
      </c>
      <c r="B40" s="2"/>
      <c r="C40" s="2"/>
      <c r="D40" s="2"/>
      <c r="E40" s="2"/>
      <c r="F40" s="2" t="s">
        <v>101</v>
      </c>
      <c r="G40" s="2" t="s">
        <v>14</v>
      </c>
      <c r="H40" s="9" t="s">
        <v>102</v>
      </c>
      <c r="I40" s="2">
        <v>1</v>
      </c>
      <c r="J40" s="2">
        <v>1</v>
      </c>
      <c r="K40" s="2">
        <f t="shared" si="1"/>
        <v>1</v>
      </c>
      <c r="L40" s="10"/>
    </row>
    <row r="41" ht="62" spans="1:12">
      <c r="A41" s="2">
        <v>42</v>
      </c>
      <c r="B41" s="2"/>
      <c r="C41" s="2"/>
      <c r="D41" s="2" t="s">
        <v>103</v>
      </c>
      <c r="E41" s="21" t="s">
        <v>14</v>
      </c>
      <c r="F41" s="2" t="s">
        <v>104</v>
      </c>
      <c r="G41" s="2" t="s">
        <v>14</v>
      </c>
      <c r="H41" s="9" t="s">
        <v>105</v>
      </c>
      <c r="I41" s="2">
        <v>1</v>
      </c>
      <c r="J41" s="2">
        <v>1</v>
      </c>
      <c r="K41" s="2">
        <f t="shared" si="1"/>
        <v>1</v>
      </c>
      <c r="L41" s="10"/>
    </row>
    <row r="42" ht="82" spans="1:12">
      <c r="A42" s="2">
        <v>43</v>
      </c>
      <c r="B42" s="2"/>
      <c r="C42" s="2"/>
      <c r="D42" s="12" t="s">
        <v>106</v>
      </c>
      <c r="E42" s="12" t="s">
        <v>14</v>
      </c>
      <c r="F42" s="2" t="s">
        <v>107</v>
      </c>
      <c r="G42" s="2" t="s">
        <v>14</v>
      </c>
      <c r="H42" s="4" t="s">
        <v>108</v>
      </c>
      <c r="I42" s="2">
        <v>1</v>
      </c>
      <c r="J42" s="2">
        <v>1</v>
      </c>
      <c r="K42" s="2">
        <f t="shared" si="1"/>
        <v>1</v>
      </c>
      <c r="L42" s="10"/>
    </row>
    <row r="43" ht="102" spans="1:12">
      <c r="A43" s="2">
        <v>44</v>
      </c>
      <c r="B43" s="2"/>
      <c r="C43" s="2"/>
      <c r="D43" s="12"/>
      <c r="E43" s="12"/>
      <c r="F43" s="2" t="s">
        <v>109</v>
      </c>
      <c r="G43" s="2" t="s">
        <v>14</v>
      </c>
      <c r="H43" s="4" t="s">
        <v>110</v>
      </c>
      <c r="I43" s="2">
        <v>1</v>
      </c>
      <c r="J43" s="2">
        <v>1</v>
      </c>
      <c r="K43" s="2">
        <f t="shared" si="1"/>
        <v>1</v>
      </c>
      <c r="L43" s="10"/>
    </row>
    <row r="44" ht="102" spans="1:12">
      <c r="A44" s="2">
        <v>45</v>
      </c>
      <c r="B44" s="2"/>
      <c r="C44" s="2"/>
      <c r="D44" s="12"/>
      <c r="E44" s="12"/>
      <c r="F44" s="2" t="s">
        <v>111</v>
      </c>
      <c r="G44" s="2" t="s">
        <v>14</v>
      </c>
      <c r="H44" s="4" t="s">
        <v>112</v>
      </c>
      <c r="I44" s="2">
        <v>1</v>
      </c>
      <c r="J44" s="2">
        <v>1</v>
      </c>
      <c r="K44" s="2">
        <f t="shared" si="1"/>
        <v>1</v>
      </c>
      <c r="L44" s="10"/>
    </row>
    <row r="45" ht="62" spans="1:12">
      <c r="A45" s="2">
        <v>46</v>
      </c>
      <c r="B45" s="2"/>
      <c r="C45" s="2"/>
      <c r="D45" s="12"/>
      <c r="E45" s="12"/>
      <c r="F45" s="2" t="s">
        <v>113</v>
      </c>
      <c r="G45" s="2" t="s">
        <v>14</v>
      </c>
      <c r="H45" s="4" t="s">
        <v>114</v>
      </c>
      <c r="I45" s="2">
        <v>1</v>
      </c>
      <c r="J45" s="2">
        <v>1</v>
      </c>
      <c r="K45" s="2">
        <f t="shared" si="1"/>
        <v>1</v>
      </c>
      <c r="L45" s="10"/>
    </row>
    <row r="46" ht="62" spans="1:12">
      <c r="A46" s="2">
        <v>47</v>
      </c>
      <c r="B46" s="2"/>
      <c r="C46" s="2"/>
      <c r="D46" s="12" t="s">
        <v>115</v>
      </c>
      <c r="E46" s="2" t="s">
        <v>11</v>
      </c>
      <c r="F46" s="6" t="s">
        <v>116</v>
      </c>
      <c r="G46" s="6" t="s">
        <v>11</v>
      </c>
      <c r="H46" s="7" t="s">
        <v>117</v>
      </c>
      <c r="I46" s="2">
        <v>1</v>
      </c>
      <c r="J46" s="2">
        <v>1</v>
      </c>
      <c r="K46" s="2">
        <f t="shared" si="1"/>
        <v>1</v>
      </c>
      <c r="L46" s="10"/>
    </row>
    <row r="47" ht="82" spans="1:12">
      <c r="A47" s="2"/>
      <c r="B47" s="2"/>
      <c r="C47" s="2"/>
      <c r="D47" s="12"/>
      <c r="E47" s="2"/>
      <c r="F47" s="6" t="s">
        <v>118</v>
      </c>
      <c r="G47" s="6" t="s">
        <v>11</v>
      </c>
      <c r="H47" s="7" t="s">
        <v>119</v>
      </c>
      <c r="I47" s="2">
        <v>1</v>
      </c>
      <c r="J47" s="2">
        <v>1</v>
      </c>
      <c r="K47" s="2">
        <f t="shared" si="1"/>
        <v>1</v>
      </c>
      <c r="L47" s="10"/>
    </row>
    <row r="48" ht="62" spans="1:12">
      <c r="A48" s="2"/>
      <c r="B48" s="2"/>
      <c r="C48" s="2"/>
      <c r="D48" s="12"/>
      <c r="E48" s="2"/>
      <c r="F48" s="6" t="s">
        <v>120</v>
      </c>
      <c r="G48" s="6" t="s">
        <v>14</v>
      </c>
      <c r="H48" s="7" t="s">
        <v>121</v>
      </c>
      <c r="I48" s="2">
        <v>1</v>
      </c>
      <c r="J48" s="2">
        <v>1</v>
      </c>
      <c r="K48" s="2">
        <f t="shared" si="1"/>
        <v>1</v>
      </c>
      <c r="L48" s="10"/>
    </row>
    <row r="49" ht="62" spans="1:12">
      <c r="A49" s="2">
        <v>50</v>
      </c>
      <c r="B49" s="2"/>
      <c r="C49" s="2"/>
      <c r="D49" s="2" t="s">
        <v>122</v>
      </c>
      <c r="E49" s="12" t="s">
        <v>14</v>
      </c>
      <c r="F49" s="2" t="s">
        <v>123</v>
      </c>
      <c r="G49" s="2" t="s">
        <v>14</v>
      </c>
      <c r="H49" s="4" t="s">
        <v>124</v>
      </c>
      <c r="I49" s="2">
        <v>1</v>
      </c>
      <c r="J49" s="2">
        <v>1</v>
      </c>
      <c r="K49" s="2">
        <f t="shared" si="1"/>
        <v>1</v>
      </c>
      <c r="L49" s="10"/>
    </row>
    <row r="50" ht="409" customHeight="1" spans="1:12">
      <c r="A50" s="2">
        <v>51</v>
      </c>
      <c r="B50" s="2"/>
      <c r="C50" s="2"/>
      <c r="D50" s="2"/>
      <c r="E50" s="12"/>
      <c r="F50" s="2" t="s">
        <v>125</v>
      </c>
      <c r="G50" s="2" t="s">
        <v>14</v>
      </c>
      <c r="H50" s="22" t="s">
        <v>126</v>
      </c>
      <c r="I50" s="2">
        <v>1</v>
      </c>
      <c r="J50" s="2">
        <v>2</v>
      </c>
      <c r="K50" s="2">
        <f t="shared" si="1"/>
        <v>2</v>
      </c>
      <c r="L50" s="10"/>
    </row>
    <row r="51" ht="82" spans="1:12">
      <c r="A51" s="2">
        <v>52</v>
      </c>
      <c r="B51" s="2"/>
      <c r="C51" s="2"/>
      <c r="D51" s="2"/>
      <c r="E51" s="12"/>
      <c r="F51" s="2" t="s">
        <v>127</v>
      </c>
      <c r="G51" s="2" t="s">
        <v>14</v>
      </c>
      <c r="H51" s="4" t="s">
        <v>128</v>
      </c>
      <c r="I51" s="2">
        <v>1</v>
      </c>
      <c r="J51" s="2">
        <v>1</v>
      </c>
      <c r="K51" s="2">
        <f t="shared" si="1"/>
        <v>1</v>
      </c>
      <c r="L51" s="10"/>
    </row>
    <row r="52" ht="41" spans="1:12">
      <c r="A52" s="2">
        <v>53</v>
      </c>
      <c r="B52" s="2"/>
      <c r="C52" s="2"/>
      <c r="D52" s="2" t="s">
        <v>129</v>
      </c>
      <c r="E52" s="2" t="s">
        <v>14</v>
      </c>
      <c r="F52" s="2" t="s">
        <v>130</v>
      </c>
      <c r="G52" s="2" t="s">
        <v>14</v>
      </c>
      <c r="H52" s="4" t="s">
        <v>131</v>
      </c>
      <c r="I52" s="2">
        <v>1</v>
      </c>
      <c r="J52" s="2">
        <v>1</v>
      </c>
      <c r="K52" s="2">
        <f t="shared" si="1"/>
        <v>1</v>
      </c>
      <c r="L52" s="10"/>
    </row>
    <row r="53" ht="82" spans="1:12">
      <c r="A53" s="2">
        <v>54</v>
      </c>
      <c r="B53" s="2"/>
      <c r="C53" s="2"/>
      <c r="D53" s="2"/>
      <c r="E53" s="2"/>
      <c r="F53" s="2" t="s">
        <v>132</v>
      </c>
      <c r="G53" s="2" t="s">
        <v>14</v>
      </c>
      <c r="H53" s="4" t="s">
        <v>133</v>
      </c>
      <c r="I53" s="2">
        <v>1</v>
      </c>
      <c r="J53" s="2">
        <v>1</v>
      </c>
      <c r="K53" s="2">
        <f t="shared" si="1"/>
        <v>1</v>
      </c>
      <c r="L53" s="10"/>
    </row>
    <row r="54" ht="62" spans="1:12">
      <c r="A54" s="2">
        <v>55</v>
      </c>
      <c r="B54" s="2"/>
      <c r="C54" s="2"/>
      <c r="D54" s="2"/>
      <c r="E54" s="2"/>
      <c r="F54" s="2" t="s">
        <v>134</v>
      </c>
      <c r="G54" s="2" t="s">
        <v>14</v>
      </c>
      <c r="H54" s="4" t="s">
        <v>135</v>
      </c>
      <c r="I54" s="2">
        <v>1</v>
      </c>
      <c r="J54" s="2">
        <v>1</v>
      </c>
      <c r="K54" s="2">
        <f t="shared" si="1"/>
        <v>1</v>
      </c>
      <c r="L54" s="10"/>
    </row>
    <row r="55" ht="82" spans="1:12">
      <c r="A55" s="2">
        <v>56</v>
      </c>
      <c r="B55" s="2"/>
      <c r="C55" s="2"/>
      <c r="D55" s="2"/>
      <c r="E55" s="2"/>
      <c r="F55" s="2" t="s">
        <v>136</v>
      </c>
      <c r="G55" s="2" t="s">
        <v>14</v>
      </c>
      <c r="H55" s="4" t="s">
        <v>137</v>
      </c>
      <c r="I55" s="2">
        <v>1</v>
      </c>
      <c r="J55" s="2">
        <v>1</v>
      </c>
      <c r="K55" s="2">
        <f t="shared" si="1"/>
        <v>1</v>
      </c>
      <c r="L55" s="10"/>
    </row>
    <row r="56" ht="82" spans="1:12">
      <c r="A56" s="2">
        <v>57</v>
      </c>
      <c r="B56" s="2"/>
      <c r="C56" s="2"/>
      <c r="D56" s="2" t="s">
        <v>138</v>
      </c>
      <c r="E56" s="23" t="s">
        <v>14</v>
      </c>
      <c r="F56" s="2" t="s">
        <v>139</v>
      </c>
      <c r="G56" s="2" t="s">
        <v>14</v>
      </c>
      <c r="H56" s="4" t="s">
        <v>140</v>
      </c>
      <c r="I56" s="2">
        <v>1</v>
      </c>
      <c r="J56" s="2">
        <v>1</v>
      </c>
      <c r="K56" s="2">
        <f t="shared" si="1"/>
        <v>1</v>
      </c>
      <c r="L56" s="10"/>
    </row>
    <row r="57" ht="82" spans="1:12">
      <c r="A57" s="2">
        <v>58</v>
      </c>
      <c r="B57" s="2"/>
      <c r="C57" s="2"/>
      <c r="D57" s="2"/>
      <c r="E57" s="23"/>
      <c r="F57" s="2" t="s">
        <v>141</v>
      </c>
      <c r="G57" s="2" t="s">
        <v>14</v>
      </c>
      <c r="H57" s="4" t="s">
        <v>142</v>
      </c>
      <c r="I57" s="2">
        <v>1</v>
      </c>
      <c r="J57" s="2">
        <v>1</v>
      </c>
      <c r="K57" s="2">
        <f t="shared" si="1"/>
        <v>1</v>
      </c>
      <c r="L57" s="10"/>
    </row>
    <row r="58" ht="62" spans="1:12">
      <c r="A58" s="2">
        <v>59</v>
      </c>
      <c r="B58" s="2"/>
      <c r="C58" s="2"/>
      <c r="D58" s="2"/>
      <c r="E58" s="23"/>
      <c r="F58" s="2" t="s">
        <v>143</v>
      </c>
      <c r="G58" s="2" t="s">
        <v>14</v>
      </c>
      <c r="H58" s="4" t="s">
        <v>144</v>
      </c>
      <c r="I58" s="2">
        <v>1</v>
      </c>
      <c r="J58" s="2">
        <v>1</v>
      </c>
      <c r="K58" s="2">
        <f t="shared" si="1"/>
        <v>1</v>
      </c>
      <c r="L58" s="10"/>
    </row>
    <row r="59" ht="41" spans="1:12">
      <c r="A59" s="2">
        <v>60</v>
      </c>
      <c r="B59" s="2"/>
      <c r="C59" s="2"/>
      <c r="D59" s="2"/>
      <c r="E59" s="23"/>
      <c r="F59" s="2" t="s">
        <v>145</v>
      </c>
      <c r="G59" s="2" t="s">
        <v>14</v>
      </c>
      <c r="H59" s="4" t="s">
        <v>146</v>
      </c>
      <c r="I59" s="2">
        <v>1</v>
      </c>
      <c r="J59" s="2">
        <v>1</v>
      </c>
      <c r="K59" s="2">
        <f t="shared" si="1"/>
        <v>1</v>
      </c>
      <c r="L59" s="10"/>
    </row>
    <row r="60" ht="62" spans="1:12">
      <c r="A60" s="2">
        <v>61</v>
      </c>
      <c r="B60" s="2"/>
      <c r="C60" s="2"/>
      <c r="D60" s="2"/>
      <c r="E60" s="23"/>
      <c r="F60" s="2" t="s">
        <v>147</v>
      </c>
      <c r="G60" s="2" t="s">
        <v>14</v>
      </c>
      <c r="H60" s="4" t="s">
        <v>148</v>
      </c>
      <c r="I60" s="2">
        <v>1</v>
      </c>
      <c r="J60" s="2">
        <v>1</v>
      </c>
      <c r="K60" s="2">
        <f t="shared" si="1"/>
        <v>1</v>
      </c>
      <c r="L60" s="10"/>
    </row>
    <row r="61" ht="82" spans="1:12">
      <c r="A61" s="2">
        <v>62</v>
      </c>
      <c r="B61" s="2"/>
      <c r="C61" s="2"/>
      <c r="D61" s="2"/>
      <c r="E61" s="23"/>
      <c r="F61" s="2" t="s">
        <v>149</v>
      </c>
      <c r="G61" s="2" t="s">
        <v>14</v>
      </c>
      <c r="H61" s="4" t="s">
        <v>150</v>
      </c>
      <c r="I61" s="2">
        <v>1</v>
      </c>
      <c r="J61" s="2">
        <v>1</v>
      </c>
      <c r="K61" s="2">
        <f t="shared" si="1"/>
        <v>1</v>
      </c>
      <c r="L61" s="10"/>
    </row>
    <row r="62" ht="82" spans="1:12">
      <c r="A62" s="2">
        <v>63</v>
      </c>
      <c r="B62" s="2"/>
      <c r="C62" s="2"/>
      <c r="D62" s="2"/>
      <c r="E62" s="23"/>
      <c r="F62" s="2" t="s">
        <v>151</v>
      </c>
      <c r="G62" s="2" t="s">
        <v>14</v>
      </c>
      <c r="H62" s="4" t="s">
        <v>152</v>
      </c>
      <c r="I62" s="2">
        <v>1</v>
      </c>
      <c r="J62" s="2">
        <v>1</v>
      </c>
      <c r="K62" s="2">
        <f t="shared" si="1"/>
        <v>1</v>
      </c>
      <c r="L62" s="10"/>
    </row>
    <row r="63" ht="20.4" spans="1:12">
      <c r="A63" s="2" t="s">
        <v>153</v>
      </c>
      <c r="B63" s="2"/>
      <c r="C63" s="2"/>
      <c r="D63" s="2"/>
      <c r="E63" s="2"/>
      <c r="F63" s="2"/>
      <c r="G63" s="2"/>
      <c r="H63" s="2"/>
      <c r="I63" s="10"/>
      <c r="J63" s="2">
        <f>SUM(J2:J62)</f>
        <v>62</v>
      </c>
      <c r="K63" s="2">
        <f>SUM(K2:K62)</f>
        <v>62</v>
      </c>
      <c r="L63" s="10"/>
    </row>
    <row r="64" ht="20.4" spans="1:12">
      <c r="A64" s="24"/>
      <c r="B64" s="24"/>
      <c r="C64" s="25"/>
      <c r="D64" s="14"/>
      <c r="E64" s="25"/>
      <c r="F64" s="25"/>
      <c r="G64" s="25"/>
      <c r="H64" s="24"/>
      <c r="I64" s="24"/>
      <c r="J64" s="26">
        <v>225</v>
      </c>
      <c r="K64" s="26">
        <v>67</v>
      </c>
      <c r="L64" s="24">
        <v>292</v>
      </c>
    </row>
  </sheetData>
  <sheetProtection formatCells="0" formatColumns="0" formatRows="0" insertRows="0" insertColumns="0" insertHyperlinks="0" deleteColumns="0" deleteRows="0" sort="0" autoFilter="0" pivotTables="0"/>
  <mergeCells count="35">
    <mergeCell ref="A63:H63"/>
    <mergeCell ref="B2:B62"/>
    <mergeCell ref="C2:C62"/>
    <mergeCell ref="D2:D3"/>
    <mergeCell ref="D5:D7"/>
    <mergeCell ref="D8:D9"/>
    <mergeCell ref="D11:D15"/>
    <mergeCell ref="D16:D20"/>
    <mergeCell ref="D21:D22"/>
    <mergeCell ref="D23:D27"/>
    <mergeCell ref="D28:D31"/>
    <mergeCell ref="D33:D34"/>
    <mergeCell ref="D35:D36"/>
    <mergeCell ref="D38:D40"/>
    <mergeCell ref="D42:D45"/>
    <mergeCell ref="D46:D48"/>
    <mergeCell ref="D49:D51"/>
    <mergeCell ref="D52:D55"/>
    <mergeCell ref="D56:D62"/>
    <mergeCell ref="E2:E3"/>
    <mergeCell ref="E5:E7"/>
    <mergeCell ref="E8:E9"/>
    <mergeCell ref="E11:E15"/>
    <mergeCell ref="E16:E20"/>
    <mergeCell ref="E21:E22"/>
    <mergeCell ref="E23:E27"/>
    <mergeCell ref="E28:E31"/>
    <mergeCell ref="E33:E34"/>
    <mergeCell ref="E35:E36"/>
    <mergeCell ref="E38:E40"/>
    <mergeCell ref="E42:E45"/>
    <mergeCell ref="E46:E48"/>
    <mergeCell ref="E49:E51"/>
    <mergeCell ref="E52:E55"/>
    <mergeCell ref="E56:E62"/>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WWO_wpscloud_20260819174756-ed9259823c</Application>
  <HeadingPairs>
    <vt:vector size="2" baseType="variant">
      <vt:variant>
        <vt:lpstr>工作表</vt:lpstr>
      </vt:variant>
      <vt:variant>
        <vt:i4>1</vt:i4>
      </vt:variant>
    </vt:vector>
  </HeadingPairs>
  <TitlesOfParts>
    <vt:vector size="1" baseType="lpstr">
      <vt:lpstr>0902修订版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dx</cp:lastModifiedBy>
  <dcterms:created xsi:type="dcterms:W3CDTF">2026-09-02T04:08:00Z</dcterms:created>
  <dcterms:modified xsi:type="dcterms:W3CDTF">2026-09-02T15:47:18Z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183912FA50374D9CA5FEBE547A1B0767_13</vt:lpwstr>
  </property>
  <property fmtid="{D5CDD505-2E9C-101B-9397-08002B2CF9AE}" pid="3" name="KSOProductBuildVer">
    <vt:lpwstr>2052-12.1.23540.23540</vt:lpwstr>
  </property>
  <property fmtid="{D5CDD505-2E9C-101B-9397-08002B2CF9AE}" pid="4" name="CalculationRule">
    <vt:i4>1</vt:i4>
  </property>
</Properties>
</file>